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Project plan" sheetId="3" state="visible" r:id="rId3"/>
  </sheets>
  <definedNames>
    <definedName name="_xlnm._FilterDatabase" localSheetId="2" hidden="1">'Project plan'!$A$1:$Q$6</definedName>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8">
    <font>
      <name val="Calibri"/>
      <family val="2"/>
      <color theme="1"/>
      <sz val="11"/>
      <scheme val="minor"/>
    </font>
    <font>
      <name val="Arial"/>
      <b val="1"/>
      <color rgb="000B1220"/>
      <sz val="14"/>
    </font>
    <font>
      <name val="Arial"/>
      <sz val="10"/>
    </font>
    <font>
      <name val="Arial"/>
      <b val="1"/>
      <color rgb="000B1220"/>
      <sz val="10"/>
    </font>
    <font>
      <name val="Arial"/>
      <b val="1"/>
      <color rgb="00FFFFFF"/>
    </font>
    <font>
      <name val="Arial"/>
      <i val="1"/>
      <sz val="9"/>
    </font>
    <font>
      <name val="Arial"/>
      <b val="1"/>
      <color rgb="000B1220"/>
      <sz val="11"/>
    </font>
    <font>
      <name val="Arial"/>
      <b val="1"/>
      <sz val="10"/>
    </font>
  </fonts>
  <fills count="5">
    <fill>
      <patternFill/>
    </fill>
    <fill>
      <patternFill patternType="gray125"/>
    </fill>
    <fill>
      <patternFill patternType="solid">
        <fgColor rgb="00FFF59D"/>
      </patternFill>
    </fill>
    <fill>
      <patternFill patternType="solid">
        <fgColor rgb="000B1220"/>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3" fillId="2" borderId="0" applyAlignment="1" pivotButton="0" quotePrefix="0" xfId="0">
      <alignment vertical="top"/>
    </xf>
    <xf numFmtId="0" fontId="1" fillId="0" borderId="0" pivotButton="0" quotePrefix="0" xfId="0"/>
    <xf numFmtId="0" fontId="5" fillId="0" borderId="0" pivotButton="0" quotePrefix="0" xfId="0"/>
    <xf numFmtId="0" fontId="6" fillId="0" borderId="0" pivotButton="0" quotePrefix="0" xfId="0"/>
    <xf numFmtId="0" fontId="4" fillId="3" borderId="1" applyAlignment="1" pivotButton="0" quotePrefix="0" xfId="0">
      <alignment vertical="center" wrapText="1"/>
    </xf>
    <xf numFmtId="0" fontId="2" fillId="0" borderId="1" pivotButton="0" quotePrefix="0" xfId="0"/>
    <xf numFmtId="9" fontId="2" fillId="0" borderId="1" pivotButton="0" quotePrefix="0" xfId="0"/>
    <xf numFmtId="166" fontId="2" fillId="0" borderId="1" pivotButton="0" quotePrefix="0" xfId="0"/>
    <xf numFmtId="0" fontId="7" fillId="4" borderId="1" pivotButton="0" quotePrefix="0" xfId="0"/>
    <xf numFmtId="9" fontId="7" fillId="4" borderId="1" pivotButton="0" quotePrefix="0" xfId="0"/>
    <xf numFmtId="166" fontId="7" fillId="4"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165" fontId="2" fillId="0" borderId="1" applyAlignment="1" pivotButton="0" quotePrefix="0" xfId="0">
      <alignment vertical="top"/>
    </xf>
    <xf numFmtId="0" fontId="2" fillId="2" borderId="1" applyAlignment="1" pivotButton="0" quotePrefix="0" xfId="0">
      <alignment vertical="top"/>
    </xf>
    <xf numFmtId="164" fontId="2" fillId="2" borderId="1" applyAlignment="1" pivotButton="0" quotePrefix="0" xfId="0">
      <alignment vertical="top"/>
    </xf>
    <xf numFmtId="9" fontId="2" fillId="0" borderId="1" applyAlignment="1" pivotButton="0" quotePrefix="0" xfId="0">
      <alignment vertical="top"/>
    </xf>
    <xf numFmtId="0" fontId="2" fillId="2" borderId="1" applyAlignment="1" pivotButton="0" quotePrefix="0" xfId="0">
      <alignment vertical="top" wrapText="1"/>
    </xf>
  </cellXfs>
  <cellStyles count="1">
    <cellStyle name="Normal" xfId="0" builtinId="0" hidden="0"/>
  </cellStyles>
  <dxfs count="4">
    <dxf>
      <fill>
        <patternFill patternType="solid">
          <fgColor rgb="00D1FADF"/>
        </patternFill>
      </fill>
    </dxf>
    <dxf>
      <fill>
        <patternFill patternType="solid">
          <fgColor rgb="00FEE4E2"/>
        </patternFill>
      </fill>
    </dxf>
    <dxf>
      <fill>
        <patternFill patternType="solid">
          <fgColor rgb="00FEF0C7"/>
        </patternFill>
      </fill>
    </dxf>
    <dxf>
      <fill>
        <patternFill patternType="solid">
          <fgColor rgb="00EAEC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workbookViewId="0">
      <selection activeCell="A1" sqref="A1"/>
    </sheetView>
  </sheetViews>
  <sheetFormatPr baseColWidth="8" defaultRowHeight="15"/>
  <cols>
    <col width="26" customWidth="1" min="1" max="1"/>
    <col width="100" customWidth="1" min="2" max="2"/>
  </cols>
  <sheetData>
    <row r="1">
      <c r="A1" s="1" t="inlineStr">
        <is>
          <t>M365 Copilot Readiness Kit: Top 5</t>
        </is>
      </c>
      <c r="B1" s="2" t="n"/>
    </row>
    <row r="2">
      <c r="A2" s="3" t="inlineStr">
        <is>
          <t>Version</t>
        </is>
      </c>
      <c r="B2" s="2" t="inlineStr">
        <is>
          <t>1.0 (2026-10-28; facts re-read on Microsoft Learn 2026-10-28; validated: quality gate, read-only guard, PowerShell 7.4 parse, Excel recalc)</t>
        </is>
      </c>
    </row>
    <row r="3">
      <c r="A3" s="3" t="inlineStr">
        <is>
          <t>What this is</t>
        </is>
      </c>
      <c r="B3" s="2" t="inlineStr">
        <is>
          <t>The same backlog as the Jira CSV, as a project plan for teams without Jira. One row per control on 'Project plan'; 'Dashboard' shows progress.</t>
        </is>
      </c>
    </row>
    <row r="4">
      <c r="A4" s="4" t="inlineStr">
        <is>
          <t>Your cells</t>
        </is>
      </c>
      <c r="B4" s="2" t="inlineStr">
        <is>
          <t>Yellow cells on 'Project plan': Owner, Start, Due, Status, Done date, Notes. Everything else is filled in or calculated.</t>
        </is>
      </c>
    </row>
    <row r="5">
      <c r="A5" s="3" t="inlineStr">
        <is>
          <t>Status values</t>
        </is>
      </c>
      <c r="B5" s="2" t="inlineStr">
        <is>
          <t>To do, In progress, Blocked, Done, Not applicable. Pick from the drop-down.</t>
        </is>
      </c>
    </row>
    <row r="6">
      <c r="A6" s="3" t="inlineStr">
        <is>
          <t>% complete</t>
        </is>
      </c>
      <c r="B6" s="2" t="inlineStr">
        <is>
          <t>Done = 100%. In progress = 50% (assumption: a simple midpoint, so the dashboard moves before a control is finished). Everything else = 0%. 'Not applicable' rows are left out of the totals.</t>
        </is>
      </c>
    </row>
    <row r="7">
      <c r="A7" s="3" t="inlineStr">
        <is>
          <t>Effort (h)</t>
        </is>
      </c>
      <c r="B7" s="2" t="inlineStr">
        <is>
          <t>Hands-on hours from the guide: upper end of a range, minutes converted to hours. Waiting time (DNS, rollout weeks, recurring reviews) is not included.</t>
        </is>
      </c>
    </row>
    <row r="8">
      <c r="A8" s="3" t="inlineStr">
        <is>
          <t>Overdue</t>
        </is>
      </c>
      <c r="B8" s="2" t="inlineStr">
        <is>
          <t>Due date before today and status not Done or Not applicable.</t>
        </is>
      </c>
    </row>
    <row r="9">
      <c r="A9" s="3" t="inlineStr">
        <is>
          <t>Example row</t>
        </is>
      </c>
      <c r="B9" s="2" t="inlineStr">
        <is>
          <t>Owner: j.doe · Start: 03/11/2026 · Due: 07/11/2026 · Status: In progress · Done date: (empty until Done) · Notes: Report-only since 03/11, review on 06/11.</t>
        </is>
      </c>
    </row>
    <row r="10">
      <c r="A10" s="3" t="inlineStr">
        <is>
          <t>Details per control</t>
        </is>
      </c>
      <c r="B10" s="2" t="inlineStr">
        <is>
          <t>Why, steps, read-only check, verify, licence and sources are in the guide (.md) that ships in the same zip.</t>
        </is>
      </c>
    </row>
    <row r="11">
      <c r="A11" s="3" t="inlineStr">
        <is>
          <t>Disclaimer</t>
        </is>
      </c>
      <c r="B11" s="2" t="inlineStr">
        <is>
          <t>Not affiliated with or endorsed by Microsoft. Test every change in Report-only or on a pilot group first.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15"/>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5" t="inlineStr">
        <is>
          <t>M365 Copilot Readiness Kit: Top 5 — progress</t>
        </is>
      </c>
    </row>
    <row r="2">
      <c r="A2" s="6" t="inlineStr">
        <is>
          <t>All figures are formulas over 'Project plan'. 'Not applicable' rows are excluded from % complete.</t>
        </is>
      </c>
    </row>
    <row r="4">
      <c r="A4" s="7" t="inlineStr">
        <is>
          <t>By area</t>
        </is>
      </c>
    </row>
    <row r="5">
      <c r="A5" s="8" t="inlineStr">
        <is>
          <t>Area</t>
        </is>
      </c>
      <c r="B5" s="8" t="inlineStr">
        <is>
          <t>Controls</t>
        </is>
      </c>
      <c r="C5" s="8" t="inlineStr">
        <is>
          <t>Done</t>
        </is>
      </c>
      <c r="D5" s="8" t="inlineStr">
        <is>
          <t>In progress</t>
        </is>
      </c>
      <c r="E5" s="8" t="inlineStr">
        <is>
          <t>Blocked</t>
        </is>
      </c>
      <c r="F5" s="8" t="inlineStr">
        <is>
          <t>Not applicable</t>
        </is>
      </c>
      <c r="G5" s="8" t="inlineStr">
        <is>
          <t>% complete</t>
        </is>
      </c>
      <c r="H5" s="8" t="inlineStr">
        <is>
          <t>Overdue</t>
        </is>
      </c>
      <c r="I5" s="8" t="inlineStr">
        <is>
          <t>Hours left</t>
        </is>
      </c>
    </row>
    <row r="6">
      <c r="A6" s="9" t="inlineStr">
        <is>
          <t>Find and fix oversharing</t>
        </is>
      </c>
      <c r="B6" s="9">
        <f>COUNTIFS('Project plan'!$C$2:$C$6,$A6)</f>
        <v/>
      </c>
      <c r="C6" s="9">
        <f>COUNTIFS('Project plan'!$C$2:$C$6,$A6,'Project plan'!$L$2:$L$6,"Done")</f>
        <v/>
      </c>
      <c r="D6" s="9">
        <f>COUNTIFS('Project plan'!$C$2:$C$6,$A6,'Project plan'!$L$2:$L$6,"In progress")</f>
        <v/>
      </c>
      <c r="E6" s="9">
        <f>COUNTIFS('Project plan'!$C$2:$C$6,$A6,'Project plan'!$L$2:$L$6,"Blocked")</f>
        <v/>
      </c>
      <c r="F6" s="9">
        <f>COUNTIFS('Project plan'!$C$2:$C$6,$A6,'Project plan'!$L$2:$L$6,"Not applicable")</f>
        <v/>
      </c>
      <c r="G6" s="10">
        <f>IFERROR(SUMIFS('Project plan'!$N$2:$N$6,'Project plan'!$C$2:$C$6,$A6,'Project plan'!$L$2:$L$6,"&lt;&gt;Not applicable")/(B6-F6),0)</f>
        <v/>
      </c>
      <c r="H6" s="9">
        <f>COUNTIFS('Project plan'!$C$2:$C$6,$A6,'Project plan'!$O$2:$O$6,"Yes")</f>
        <v/>
      </c>
      <c r="I6" s="11">
        <f>SUMIFS('Project plan'!$G$2:$G$6,'Project plan'!$C$2:$C$6,$A6,'Project plan'!$L$2:$L$6,"&lt;&gt;Done",'Project plan'!$L$2:$L$6,"&lt;&gt;Not applicable")</f>
        <v/>
      </c>
    </row>
    <row r="7">
      <c r="A7" s="9" t="inlineStr">
        <is>
          <t>Safer sharing defaults</t>
        </is>
      </c>
      <c r="B7" s="9">
        <f>COUNTIFS('Project plan'!$C$2:$C$6,$A7)</f>
        <v/>
      </c>
      <c r="C7" s="9">
        <f>COUNTIFS('Project plan'!$C$2:$C$6,$A7,'Project plan'!$L$2:$L$6,"Done")</f>
        <v/>
      </c>
      <c r="D7" s="9">
        <f>COUNTIFS('Project plan'!$C$2:$C$6,$A7,'Project plan'!$L$2:$L$6,"In progress")</f>
        <v/>
      </c>
      <c r="E7" s="9">
        <f>COUNTIFS('Project plan'!$C$2:$C$6,$A7,'Project plan'!$L$2:$L$6,"Blocked")</f>
        <v/>
      </c>
      <c r="F7" s="9">
        <f>COUNTIFS('Project plan'!$C$2:$C$6,$A7,'Project plan'!$L$2:$L$6,"Not applicable")</f>
        <v/>
      </c>
      <c r="G7" s="10">
        <f>IFERROR(SUMIFS('Project plan'!$N$2:$N$6,'Project plan'!$C$2:$C$6,$A7,'Project plan'!$L$2:$L$6,"&lt;&gt;Not applicable")/(B7-F7),0)</f>
        <v/>
      </c>
      <c r="H7" s="9">
        <f>COUNTIFS('Project plan'!$C$2:$C$6,$A7,'Project plan'!$O$2:$O$6,"Yes")</f>
        <v/>
      </c>
      <c r="I7" s="11">
        <f>SUMIFS('Project plan'!$G$2:$G$6,'Project plan'!$C$2:$C$6,$A7,'Project plan'!$L$2:$L$6,"&lt;&gt;Done",'Project plan'!$L$2:$L$6,"&lt;&gt;Not applicable")</f>
        <v/>
      </c>
    </row>
    <row r="8">
      <c r="A8" s="9" t="inlineStr">
        <is>
          <t>Copilot audit and evidence</t>
        </is>
      </c>
      <c r="B8" s="9">
        <f>COUNTIFS('Project plan'!$C$2:$C$6,$A8)</f>
        <v/>
      </c>
      <c r="C8" s="9">
        <f>COUNTIFS('Project plan'!$C$2:$C$6,$A8,'Project plan'!$L$2:$L$6,"Done")</f>
        <v/>
      </c>
      <c r="D8" s="9">
        <f>COUNTIFS('Project plan'!$C$2:$C$6,$A8,'Project plan'!$L$2:$L$6,"In progress")</f>
        <v/>
      </c>
      <c r="E8" s="9">
        <f>COUNTIFS('Project plan'!$C$2:$C$6,$A8,'Project plan'!$L$2:$L$6,"Blocked")</f>
        <v/>
      </c>
      <c r="F8" s="9">
        <f>COUNTIFS('Project plan'!$C$2:$C$6,$A8,'Project plan'!$L$2:$L$6,"Not applicable")</f>
        <v/>
      </c>
      <c r="G8" s="10">
        <f>IFERROR(SUMIFS('Project plan'!$N$2:$N$6,'Project plan'!$C$2:$C$6,$A8,'Project plan'!$L$2:$L$6,"&lt;&gt;Not applicable")/(B8-F8),0)</f>
        <v/>
      </c>
      <c r="H8" s="9">
        <f>COUNTIFS('Project plan'!$C$2:$C$6,$A8,'Project plan'!$O$2:$O$6,"Yes")</f>
        <v/>
      </c>
      <c r="I8" s="11">
        <f>SUMIFS('Project plan'!$G$2:$G$6,'Project plan'!$C$2:$C$6,$A8,'Project plan'!$L$2:$L$6,"&lt;&gt;Done",'Project plan'!$L$2:$L$6,"&lt;&gt;Not applicable")</f>
        <v/>
      </c>
    </row>
    <row r="9">
      <c r="A9" s="12" t="inlineStr">
        <is>
          <t>Total</t>
        </is>
      </c>
      <c r="B9" s="12">
        <f>SUM(B6:B8)</f>
        <v/>
      </c>
      <c r="C9" s="12">
        <f>SUM(C6:C8)</f>
        <v/>
      </c>
      <c r="D9" s="12">
        <f>SUM(D6:D8)</f>
        <v/>
      </c>
      <c r="E9" s="12">
        <f>SUM(E6:E8)</f>
        <v/>
      </c>
      <c r="F9" s="12">
        <f>SUM(F6:F8)</f>
        <v/>
      </c>
      <c r="G9" s="13">
        <f>IFERROR(SUMIFS('Project plan'!$N$2:$N$6,'Project plan'!$L$2:$L$6,"&lt;&gt;Not applicable")/(B9-F9),0)</f>
        <v/>
      </c>
      <c r="H9" s="12">
        <f>SUM(H6:H8)</f>
        <v/>
      </c>
      <c r="I9" s="14">
        <f>SUM(I6:I8)</f>
        <v/>
      </c>
    </row>
    <row r="11">
      <c r="A11" s="7" t="inlineStr">
        <is>
          <t>By sprint</t>
        </is>
      </c>
    </row>
    <row r="12">
      <c r="A12" s="8" t="inlineStr">
        <is>
          <t>Sprint</t>
        </is>
      </c>
      <c r="B12" s="8" t="inlineStr">
        <is>
          <t>Controls</t>
        </is>
      </c>
      <c r="C12" s="8" t="inlineStr">
        <is>
          <t>Done</t>
        </is>
      </c>
      <c r="D12" s="8" t="inlineStr">
        <is>
          <t>In progress</t>
        </is>
      </c>
      <c r="E12" s="8" t="inlineStr">
        <is>
          <t>Blocked</t>
        </is>
      </c>
      <c r="F12" s="8" t="inlineStr">
        <is>
          <t>Not applicable</t>
        </is>
      </c>
      <c r="G12" s="8" t="inlineStr">
        <is>
          <t>% complete</t>
        </is>
      </c>
      <c r="H12" s="8" t="inlineStr">
        <is>
          <t>Overdue</t>
        </is>
      </c>
      <c r="I12" s="8" t="inlineStr">
        <is>
          <t>Hours left</t>
        </is>
      </c>
    </row>
    <row r="13">
      <c r="A13" s="9" t="inlineStr">
        <is>
          <t>Sprint 1 - Before Copilot pilot</t>
        </is>
      </c>
      <c r="B13" s="9">
        <f>COUNTIFS('Project plan'!$D$2:$D$6,$A13)</f>
        <v/>
      </c>
      <c r="C13" s="9">
        <f>COUNTIFS('Project plan'!$D$2:$D$6,$A13,'Project plan'!$L$2:$L$6,"Done")</f>
        <v/>
      </c>
      <c r="D13" s="9">
        <f>COUNTIFS('Project plan'!$D$2:$D$6,$A13,'Project plan'!$L$2:$L$6,"In progress")</f>
        <v/>
      </c>
      <c r="E13" s="9">
        <f>COUNTIFS('Project plan'!$D$2:$D$6,$A13,'Project plan'!$L$2:$L$6,"Blocked")</f>
        <v/>
      </c>
      <c r="F13" s="9">
        <f>COUNTIFS('Project plan'!$D$2:$D$6,$A13,'Project plan'!$L$2:$L$6,"Not applicable")</f>
        <v/>
      </c>
      <c r="G13" s="10">
        <f>IFERROR(SUMIFS('Project plan'!$N$2:$N$6,'Project plan'!$D$2:$D$6,$A13,'Project plan'!$L$2:$L$6,"&lt;&gt;Not applicable")/(B13-F13),0)</f>
        <v/>
      </c>
      <c r="H13" s="9">
        <f>COUNTIFS('Project plan'!$D$2:$D$6,$A13,'Project plan'!$O$2:$O$6,"Yes")</f>
        <v/>
      </c>
      <c r="I13" s="11">
        <f>SUMIFS('Project plan'!$G$2:$G$6,'Project plan'!$D$2:$D$6,$A13,'Project plan'!$L$2:$L$6,"&lt;&gt;Done",'Project plan'!$L$2:$L$6,"&lt;&gt;Not applicable")</f>
        <v/>
      </c>
    </row>
    <row r="14">
      <c r="A14" s="9" t="inlineStr">
        <is>
          <t>Sprint 2 - Remediate and guard</t>
        </is>
      </c>
      <c r="B14" s="9">
        <f>COUNTIFS('Project plan'!$D$2:$D$6,$A14)</f>
        <v/>
      </c>
      <c r="C14" s="9">
        <f>COUNTIFS('Project plan'!$D$2:$D$6,$A14,'Project plan'!$L$2:$L$6,"Done")</f>
        <v/>
      </c>
      <c r="D14" s="9">
        <f>COUNTIFS('Project plan'!$D$2:$D$6,$A14,'Project plan'!$L$2:$L$6,"In progress")</f>
        <v/>
      </c>
      <c r="E14" s="9">
        <f>COUNTIFS('Project plan'!$D$2:$D$6,$A14,'Project plan'!$L$2:$L$6,"Blocked")</f>
        <v/>
      </c>
      <c r="F14" s="9">
        <f>COUNTIFS('Project plan'!$D$2:$D$6,$A14,'Project plan'!$L$2:$L$6,"Not applicable")</f>
        <v/>
      </c>
      <c r="G14" s="10">
        <f>IFERROR(SUMIFS('Project plan'!$N$2:$N$6,'Project plan'!$D$2:$D$6,$A14,'Project plan'!$L$2:$L$6,"&lt;&gt;Not applicable")/(B14-F14),0)</f>
        <v/>
      </c>
      <c r="H14" s="9">
        <f>COUNTIFS('Project plan'!$D$2:$D$6,$A14,'Project plan'!$O$2:$O$6,"Yes")</f>
        <v/>
      </c>
      <c r="I14" s="11">
        <f>SUMIFS('Project plan'!$G$2:$G$6,'Project plan'!$D$2:$D$6,$A14,'Project plan'!$L$2:$L$6,"&lt;&gt;Done",'Project plan'!$L$2:$L$6,"&lt;&gt;Not applicable")</f>
        <v/>
      </c>
    </row>
    <row r="15">
      <c r="A15" s="12" t="inlineStr">
        <is>
          <t>Total</t>
        </is>
      </c>
      <c r="B15" s="12">
        <f>SUM(B13:B14)</f>
        <v/>
      </c>
      <c r="C15" s="12">
        <f>SUM(C13:C14)</f>
        <v/>
      </c>
      <c r="D15" s="12">
        <f>SUM(D13:D14)</f>
        <v/>
      </c>
      <c r="E15" s="12">
        <f>SUM(E13:E14)</f>
        <v/>
      </c>
      <c r="F15" s="12">
        <f>SUM(F13:F14)</f>
        <v/>
      </c>
      <c r="G15" s="13">
        <f>IFERROR(SUMIFS('Project plan'!$N$2:$N$6,'Project plan'!$L$2:$L$6,"&lt;&gt;Not applicable")/(B15-F15),0)</f>
        <v/>
      </c>
      <c r="H15" s="12">
        <f>SUM(H13:H14)</f>
        <v/>
      </c>
      <c r="I15" s="14">
        <f>SUM(I13:I14)</f>
        <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Q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6" customWidth="1" min="2" max="2"/>
    <col width="26" customWidth="1" min="3" max="3"/>
    <col width="24" customWidth="1" min="4" max="4"/>
    <col width="10" customWidth="1" min="5" max="5"/>
    <col width="14" customWidth="1" min="6" max="6"/>
    <col width="10" customWidth="1" min="7" max="7"/>
    <col width="30" customWidth="1" min="8" max="8"/>
    <col width="16" customWidth="1" min="9" max="9"/>
    <col width="12" customWidth="1" min="10" max="10"/>
    <col width="12" customWidth="1" min="11" max="11"/>
    <col width="14" customWidth="1" min="12" max="12"/>
    <col width="12" customWidth="1" min="13" max="13"/>
    <col width="11" customWidth="1" min="14" max="14"/>
    <col width="9" customWidth="1" min="15" max="15"/>
    <col width="50" customWidth="1" min="16" max="16"/>
    <col width="36" customWidth="1" min="17" max="17"/>
  </cols>
  <sheetData>
    <row r="1" ht="30" customHeight="1">
      <c r="A1" s="8" t="inlineStr">
        <is>
          <t>ID</t>
        </is>
      </c>
      <c r="B1" s="8" t="inlineStr">
        <is>
          <t>Control</t>
        </is>
      </c>
      <c r="C1" s="8" t="inlineStr">
        <is>
          <t>Area</t>
        </is>
      </c>
      <c r="D1" s="8" t="inlineStr">
        <is>
          <t>Sprint</t>
        </is>
      </c>
      <c r="E1" s="8" t="inlineStr">
        <is>
          <t>Priority</t>
        </is>
      </c>
      <c r="F1" s="8" t="inlineStr">
        <is>
          <t>Effort (guide)</t>
        </is>
      </c>
      <c r="G1" s="8" t="inlineStr">
        <is>
          <t>Effort (h)</t>
        </is>
      </c>
      <c r="H1" s="8" t="inlineStr">
        <is>
          <t>Licence</t>
        </is>
      </c>
      <c r="I1" s="8" t="inlineStr">
        <is>
          <t>Owner</t>
        </is>
      </c>
      <c r="J1" s="8" t="inlineStr">
        <is>
          <t>Start</t>
        </is>
      </c>
      <c r="K1" s="8" t="inlineStr">
        <is>
          <t>Due</t>
        </is>
      </c>
      <c r="L1" s="8" t="inlineStr">
        <is>
          <t>Status</t>
        </is>
      </c>
      <c r="M1" s="8" t="inlineStr">
        <is>
          <t>Done date</t>
        </is>
      </c>
      <c r="N1" s="8" t="inlineStr">
        <is>
          <t>% complete</t>
        </is>
      </c>
      <c r="O1" s="8" t="inlineStr">
        <is>
          <t>Overdue</t>
        </is>
      </c>
      <c r="P1" s="8" t="inlineStr">
        <is>
          <t>Verify (done when…)</t>
        </is>
      </c>
      <c r="Q1" s="8" t="inlineStr">
        <is>
          <t>Notes</t>
        </is>
      </c>
    </row>
    <row r="2">
      <c r="A2" s="15" t="inlineStr">
        <is>
          <t>CR01</t>
        </is>
      </c>
      <c r="B2" s="16" t="inlineStr">
        <is>
          <t>Find the overshared sites before Copilot does</t>
        </is>
      </c>
      <c r="C2" s="15" t="inlineStr">
        <is>
          <t>Find and fix oversharing</t>
        </is>
      </c>
      <c r="D2" s="15" t="inlineStr">
        <is>
          <t>Sprint 1 - Before Copilot pilot</t>
        </is>
      </c>
      <c r="E2" s="15" t="inlineStr">
        <is>
          <t>Highest</t>
        </is>
      </c>
      <c r="F2" s="15" t="inlineStr">
        <is>
          <t>2 h</t>
        </is>
      </c>
      <c r="G2" s="17" t="n">
        <v>2</v>
      </c>
      <c r="H2" s="16" t="inlineStr">
        <is>
          <t>Data access governance reports and EEEU insights are part of SharePoint Advanced Management, which Microsoft includes with Microsoft 365 Copilot licences. DSPM data risk assessments need Microsoft Purview (check your plan). SharePoint Administrator role.</t>
        </is>
      </c>
      <c r="I2" s="18" t="n"/>
      <c r="J2" s="19" t="n"/>
      <c r="K2" s="19" t="n"/>
      <c r="L2" s="18" t="inlineStr">
        <is>
          <t>To do</t>
        </is>
      </c>
      <c r="M2" s="19" t="n"/>
      <c r="N2" s="20">
        <f>IF(L2="Done",1,IF(L2="In progress",0.5,0))</f>
        <v/>
      </c>
      <c r="O2" s="15">
        <f>IF(AND(ISNUMBER(K2),K2&lt;TODAY(),L2&lt;&gt;"Done",L2&lt;&gt;"Not applicable"),"Yes","")</f>
        <v/>
      </c>
      <c r="P2" s="16" t="inlineStr">
        <is>
          <t>A list of high-risk sites with an owner for each exists in the tracker, and the DAG/EEEU reports are saved with the date they were run.</t>
        </is>
      </c>
      <c r="Q2" s="21" t="n"/>
    </row>
    <row r="3">
      <c r="A3" s="15" t="inlineStr">
        <is>
          <t>CR02</t>
        </is>
      </c>
      <c r="B3" s="16" t="inlineStr">
        <is>
          <t>Hide the riskiest sites from Copilot while you fix them (Restricted Content Discovery)</t>
        </is>
      </c>
      <c r="C3" s="15" t="inlineStr">
        <is>
          <t>Find and fix oversharing</t>
        </is>
      </c>
      <c r="D3" s="15" t="inlineStr">
        <is>
          <t>Sprint 1 - Before Copilot pilot</t>
        </is>
      </c>
      <c r="E3" s="15" t="inlineStr">
        <is>
          <t>Highest</t>
        </is>
      </c>
      <c r="F3" s="15" t="inlineStr">
        <is>
          <t>1 h</t>
        </is>
      </c>
      <c r="G3" s="17" t="n">
        <v>1</v>
      </c>
      <c r="H3" s="16" t="inlineStr">
        <is>
          <t>Microsoft 365 Copilot licence (SharePoint Advanced Management included). SharePoint sites only, not OneDrive. SharePoint Administrator role.</t>
        </is>
      </c>
      <c r="I3" s="18" t="n"/>
      <c r="J3" s="19" t="n"/>
      <c r="K3" s="19" t="n"/>
      <c r="L3" s="18" t="inlineStr">
        <is>
          <t>To do</t>
        </is>
      </c>
      <c r="M3" s="19" t="n"/>
      <c r="N3" s="20">
        <f>IF(L3="Done",1,IF(L3="In progress",0.5,0))</f>
        <v/>
      </c>
      <c r="O3" s="15">
        <f>IF(AND(ISNUMBER(K3),K3&lt;TODAY(),L3&lt;&gt;"Done",L3&lt;&gt;"Not applicable"),"Yes","")</f>
        <v/>
      </c>
      <c r="P3" s="16" t="inlineStr">
        <is>
          <t>Every high-risk site from CR01 either has access fixed or has 'Restrict content from Microsoft Copilot' on, with a removal date in the tracker. A pilot user's Copilot answer no longer cites the restricted site.</t>
        </is>
      </c>
      <c r="Q3" s="21" t="n"/>
    </row>
    <row r="4">
      <c r="A4" s="15" t="inlineStr">
        <is>
          <t>CR03</t>
        </is>
      </c>
      <c r="B4" s="16" t="inlineStr">
        <is>
          <t>Make 'Specific people, view' the default sharing link and put an expiry on Anyone links</t>
        </is>
      </c>
      <c r="C4" s="15" t="inlineStr">
        <is>
          <t>Safer sharing defaults</t>
        </is>
      </c>
      <c r="D4" s="15" t="inlineStr">
        <is>
          <t>Sprint 1 - Before Copilot pilot</t>
        </is>
      </c>
      <c r="E4" s="15" t="inlineStr">
        <is>
          <t>High</t>
        </is>
      </c>
      <c r="F4" s="15" t="inlineStr">
        <is>
          <t>1 h</t>
        </is>
      </c>
      <c r="G4" s="17" t="n">
        <v>1</v>
      </c>
      <c r="H4" s="16" t="inlineStr">
        <is>
          <t>Any SharePoint Online plan. SharePoint Administrator role.</t>
        </is>
      </c>
      <c r="I4" s="18" t="n"/>
      <c r="J4" s="19" t="n"/>
      <c r="K4" s="19" t="n"/>
      <c r="L4" s="18" t="inlineStr">
        <is>
          <t>To do</t>
        </is>
      </c>
      <c r="M4" s="19" t="n"/>
      <c r="N4" s="20">
        <f>IF(L4="Done",1,IF(L4="In progress",0.5,0))</f>
        <v/>
      </c>
      <c r="O4" s="15">
        <f>IF(AND(ISNUMBER(K4),K4&lt;TODAY(),L4&lt;&gt;"Done",L4&lt;&gt;"Not applicable"),"Yes","")</f>
        <v/>
      </c>
      <c r="P4" s="16" t="inlineStr">
        <is>
          <t>Check output shows DefaultSharingLinkType = Direct, DefaultLinkPermission = View, and either Anyone links not allowed or RequireAnonymousLinksExpireInDays set to a value greater than 0.</t>
        </is>
      </c>
      <c r="Q4" s="21" t="n"/>
    </row>
    <row r="5">
      <c r="A5" s="15" t="inlineStr">
        <is>
          <t>CR04</t>
        </is>
      </c>
      <c r="B5" s="16" t="inlineStr">
        <is>
          <t>Remove 'Everyone except external users' from sensitive sites and hide it in the people picker</t>
        </is>
      </c>
      <c r="C5" s="15" t="inlineStr">
        <is>
          <t>Safer sharing defaults</t>
        </is>
      </c>
      <c r="D5" s="15" t="inlineStr">
        <is>
          <t>Sprint 2 - Remediate and guard</t>
        </is>
      </c>
      <c r="E5" s="15" t="inlineStr">
        <is>
          <t>High</t>
        </is>
      </c>
      <c r="F5" s="15" t="inlineStr">
        <is>
          <t>2 h + site owner time</t>
        </is>
      </c>
      <c r="G5" s="17" t="n">
        <v>2</v>
      </c>
      <c r="H5" s="16" t="inlineStr">
        <is>
          <t>Site access reviews and EEEU insights: SharePoint Advanced Management (included with Microsoft 365 Copilot licences). People picker setting: any SharePoint Online plan.</t>
        </is>
      </c>
      <c r="I5" s="18" t="n"/>
      <c r="J5" s="19" t="n"/>
      <c r="K5" s="19" t="n"/>
      <c r="L5" s="18" t="inlineStr">
        <is>
          <t>To do</t>
        </is>
      </c>
      <c r="M5" s="19" t="n"/>
      <c r="N5" s="20">
        <f>IF(L5="Done",1,IF(L5="In progress",0.5,0))</f>
        <v/>
      </c>
      <c r="O5" s="15">
        <f>IF(AND(ISNUMBER(K5),K5&lt;TODAY(),L5&lt;&gt;"Done",L5&lt;&gt;"Not applicable"),"Yes","")</f>
        <v/>
      </c>
      <c r="P5" s="16" t="inlineStr">
        <is>
          <t>Sensitive sites from CR01 no longer grant EEEU; the next EEEU insights report shows fewer items; ShowEveryoneExceptExternalUsersClaim is False.</t>
        </is>
      </c>
      <c r="Q5" s="21" t="n"/>
    </row>
    <row r="6">
      <c r="A6" s="15" t="inlineStr">
        <is>
          <t>CR05</t>
        </is>
      </c>
      <c r="B6" s="16" t="inlineStr">
        <is>
          <t>Confirm Copilot interactions are audited and searchable</t>
        </is>
      </c>
      <c r="C6" s="15" t="inlineStr">
        <is>
          <t>Copilot audit and evidence</t>
        </is>
      </c>
      <c r="D6" s="15" t="inlineStr">
        <is>
          <t>Sprint 1 - Before Copilot pilot</t>
        </is>
      </c>
      <c r="E6" s="15" t="inlineStr">
        <is>
          <t>High</t>
        </is>
      </c>
      <c r="F6" s="15" t="inlineStr">
        <is>
          <t>30 min</t>
        </is>
      </c>
      <c r="G6" s="17" t="n">
        <v>0.5</v>
      </c>
      <c r="H6" s="16" t="inlineStr">
        <is>
          <t>Audit (Standard), included in Microsoft 365 business and enterprise plans. Longer audit retention needs Audit (Premium) or a retention add-on. Audit Logs or View-Only Audit Logs role.</t>
        </is>
      </c>
      <c r="I6" s="18" t="n"/>
      <c r="J6" s="19" t="n"/>
      <c r="K6" s="19" t="n"/>
      <c r="L6" s="18" t="inlineStr">
        <is>
          <t>To do</t>
        </is>
      </c>
      <c r="M6" s="19" t="n"/>
      <c r="N6" s="20">
        <f>IF(L6="Done",1,IF(L6="In progress",0.5,0))</f>
        <v/>
      </c>
      <c r="O6" s="15">
        <f>IF(AND(ISNUMBER(K6),K6&lt;TODAY(),L6&lt;&gt;"Done",L6&lt;&gt;"Not applicable"),"Yes","")</f>
        <v/>
      </c>
      <c r="P6" s="16" t="inlineStr">
        <is>
          <t>UnifiedAuditLogIngestionEnabled is True and a CopilotInteraction search for a pilot user returns results; the retention decision is recorded.</t>
        </is>
      </c>
      <c r="Q6" s="21" t="n"/>
    </row>
  </sheetData>
  <autoFilter ref="A1:Q6"/>
  <conditionalFormatting sqref="A2:Q6">
    <cfRule type="expression" priority="1" dxfId="0">
      <formula>$L2="Done"</formula>
    </cfRule>
    <cfRule type="expression" priority="2" dxfId="1">
      <formula>$L2="Blocked"</formula>
    </cfRule>
    <cfRule type="expression" priority="3" dxfId="2">
      <formula>$L2="In progress"</formula>
    </cfRule>
    <cfRule type="expression" priority="4" dxfId="3">
      <formula>$L2="Not applicable"</formula>
    </cfRule>
  </conditionalFormatting>
  <dataValidations count="2">
    <dataValidation sqref="L2:L6" showDropDown="0" showInputMessage="0" showErrorMessage="1" allowBlank="0" errorTitle="Status" error="Pick a status from the list." type="list">
      <formula1>"To do,In progress,Blocked,Done,Not applicable"</formula1>
    </dataValidation>
    <dataValidation sqref="J2:K6 M2:M6" showDropDown="0" showInputMessage="0" showErrorMessage="1" allowBlank="1" errorTitle="Date" error="Enter a date, e.g. 03/11/2026." type="date" operator="greaterThan">
      <formula1>DATE(2020,1,1)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Runbook Lab</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